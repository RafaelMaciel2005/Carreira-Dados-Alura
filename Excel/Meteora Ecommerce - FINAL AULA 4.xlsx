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resolve-my.sharepoint.com/personal/r_sabino_officeresolve_com_br/Documents/Alura-Ciência de Dados/02 - Excel - Novas Formações/Formação Excel/3195 - Excel 1 - Domine o Editor de planilhas/Materiais do Curso/"/>
    </mc:Choice>
  </mc:AlternateContent>
  <xr:revisionPtr revIDLastSave="441" documentId="8_{0D071335-E186-43B8-A2BC-FF91FCFBAFB2}" xr6:coauthVersionLast="47" xr6:coauthVersionMax="47" xr10:uidLastSave="{029E9962-D88B-4435-AD99-654AA602A62F}"/>
  <bookViews>
    <workbookView xWindow="28680" yWindow="-120" windowWidth="20640" windowHeight="11040" xr2:uid="{F6D97A53-F63B-4272-A181-44B26E0B790F}"/>
  </bookViews>
  <sheets>
    <sheet name="Produtos" sheetId="1" r:id="rId1"/>
    <sheet name="Tabela de Produtos" sheetId="2" r:id="rId2"/>
  </sheets>
  <definedNames>
    <definedName name="_xlnm.Print_Area" localSheetId="0">Produtos!$A$1:$I$25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D24" i="2"/>
  <c r="E24" i="2"/>
  <c r="F24" i="2"/>
  <c r="G24" i="2"/>
  <c r="G4" i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E25" i="1"/>
  <c r="D25" i="1"/>
  <c r="F25" i="1" l="1"/>
  <c r="G25" i="1"/>
</calcChain>
</file>

<file path=xl/sharedStrings.xml><?xml version="1.0" encoding="utf-8"?>
<sst xmlns="http://schemas.openxmlformats.org/spreadsheetml/2006/main" count="134" uniqueCount="29">
  <si>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</si>
  <si>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</si>
  <si>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</si>
  <si>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</si>
  <si>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</si>
  <si>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</si>
  <si>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</si>
  <si>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</si>
  <si>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</si>
  <si>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</si>
  <si>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</si>
  <si>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</si>
  <si>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</si>
  <si>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</si>
  <si>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</si>
  <si>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</si>
  <si>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</si>
  <si>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</si>
  <si>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</si>
  <si>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</si>
  <si>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</si>
  <si>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</si>
  <si>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</si>
  <si>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</si>
  <si>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</si>
  <si>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</si>
  <si>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</si>
  <si>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de Desconto</t>
  </si>
  <si>
    <t>Valor do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</si>
</sst>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1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10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9" totalsRowDxfId="8"/>
    <tableColumn id="3" xr3:uid="{D4BC101A-97D8-4654-894F-A95A0763ECFC}" name="Categoria"/>
    <tableColumn id="4" xr3:uid="{34BA93BF-7C06-4A74-819A-029EE57FACDA}" name="Preço Unitário" totalsRowFunction="sum" dataDxfId="7" totalsRowDxfId="6"/>
    <tableColumn id="5" xr3:uid="{79E8B5D8-9831-45EA-85F5-D3CD7A1F217D}" name="Qtd" totalsRowFunction="sum" dataDxfId="5" totalsRowDxfId="4"/>
    <tableColumn id="8" xr3:uid="{2CA96BD7-CFF7-47D2-9AA7-C3CD559334C6}" name="Valor Total" totalsRowFunction="sum" dataDxfId="3" totalsRowDxfId="2">
      <calculatedColumnFormula>Tabela5[[#This Row],[Preço Unitário]]*Tabela5[[#This Row],[Qtd]]</calculatedColumnFormula>
    </tableColumn>
    <tableColumn id="9" xr3:uid="{3CA4AA1E-2190-41D4-A447-52A35EAB57D4}" name="Valor do Desconto" totalsRowFunction="sum" dataDxfId="1" totalsRowDxfId="0">
      <calculatedColumnFormula>Tabela5[[#This Row],[Valor Total]]*$I$4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DE3CC5C-E8F7-4831-AB67-80A4FBCA00B5}">
  <we:reference id="wa200003696" version="1.2.0.0" store="pt-BR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C1B8CC8-60C0-4F8A-BAD2-1097A8C45B2B}">
  <we:reference id="wa200005271" version="1.1.0.0" store="pt-BR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25"/>
  <sheetViews>
    <sheetView tabSelected="1" zoomScale="90" zoomScaleNormal="90" zoomScaleSheetLayoutView="91" workbookViewId="0">
      <selection sqref="A1:G1"/>
    </sheetView>
  </sheetViews>
  <sheetFormatPr defaultColWidth="8.88671875" defaultRowHeight="14.4" x14ac:dyDescent="0.3"/>
  <cols>
    <col min="1" max="1" width="16.88671875" customWidth="1"/>
    <col min="2" max="2" width="11.5546875" style="1" bestFit="1" customWidth="1"/>
    <col min="3" max="3" width="12.109375" bestFit="1" customWidth="1"/>
    <col min="4" max="4" width="17.88671875" bestFit="1" customWidth="1"/>
    <col min="5" max="5" width="12" style="1" customWidth="1"/>
    <col min="6" max="6" width="17.88671875" bestFit="1" customWidth="1"/>
    <col min="7" max="7" width="22.44140625" bestFit="1" customWidth="1"/>
    <col min="9" max="9" width="12.44140625" customWidth="1"/>
  </cols>
  <sheetData>
    <row r="1" spans="1:9" ht="21" x14ac:dyDescent="0.4">
      <c r="A1" s="35" t="s">
        <v>21</v>
      </c>
      <c r="B1" s="35"/>
      <c r="C1" s="35"/>
      <c r="D1" s="35"/>
      <c r="E1" s="35"/>
      <c r="F1" s="35"/>
      <c r="G1" s="35"/>
    </row>
    <row r="2" spans="1:9" ht="4.5" customHeight="1" thickBot="1" x14ac:dyDescent="0.45">
      <c r="A2" s="3"/>
      <c r="B2" s="3"/>
      <c r="C2" s="3"/>
      <c r="D2" s="3"/>
      <c r="E2" s="3"/>
      <c r="F2" s="3"/>
      <c r="G2" s="3"/>
    </row>
    <row r="3" spans="1:9" s="2" customFormat="1" ht="18.600000000000001" thickBot="1" x14ac:dyDescent="0.4">
      <c r="A3" s="13" t="s">
        <v>0</v>
      </c>
      <c r="B3" s="14" t="s">
        <v>1</v>
      </c>
      <c r="C3" s="14" t="s">
        <v>16</v>
      </c>
      <c r="D3" s="14" t="s">
        <v>17</v>
      </c>
      <c r="E3" s="15" t="s">
        <v>22</v>
      </c>
      <c r="F3" s="14" t="s">
        <v>24</v>
      </c>
      <c r="G3" s="14" t="s">
        <v>27</v>
      </c>
      <c r="I3" s="30" t="s">
        <v>26</v>
      </c>
    </row>
    <row r="4" spans="1:9" ht="15" thickBot="1" x14ac:dyDescent="0.35">
      <c r="A4" s="10" t="s">
        <v>15</v>
      </c>
      <c r="B4" s="11" t="s">
        <v>2</v>
      </c>
      <c r="C4" s="12" t="s">
        <v>18</v>
      </c>
      <c r="D4" s="19">
        <v>25.9</v>
      </c>
      <c r="E4" s="20">
        <v>12</v>
      </c>
      <c r="F4" s="19">
        <f>D4*E4</f>
        <v>310.79999999999995</v>
      </c>
      <c r="G4" s="19">
        <f>F4*$I$4</f>
        <v>15.54</v>
      </c>
      <c r="I4" s="31">
        <v>0.05</v>
      </c>
    </row>
    <row r="5" spans="1:9" x14ac:dyDescent="0.3">
      <c r="A5" s="6" t="s">
        <v>15</v>
      </c>
      <c r="B5" s="5" t="s">
        <v>3</v>
      </c>
      <c r="C5" s="4" t="s">
        <v>18</v>
      </c>
      <c r="D5" s="17">
        <v>29.9</v>
      </c>
      <c r="E5" s="21">
        <v>10</v>
      </c>
      <c r="F5" s="17">
        <f t="shared" ref="F5:F23" si="0">D5*E5</f>
        <v>299</v>
      </c>
      <c r="G5" s="19">
        <f t="shared" ref="G5:G23" si="1">F5*$I$4</f>
        <v>14.950000000000001</v>
      </c>
    </row>
    <row r="6" spans="1:9" x14ac:dyDescent="0.3">
      <c r="A6" s="6" t="s">
        <v>15</v>
      </c>
      <c r="B6" s="5" t="s">
        <v>4</v>
      </c>
      <c r="C6" s="4" t="s">
        <v>18</v>
      </c>
      <c r="D6" s="17">
        <v>32.9</v>
      </c>
      <c r="E6" s="21">
        <v>6</v>
      </c>
      <c r="F6" s="17">
        <f t="shared" si="0"/>
        <v>197.39999999999998</v>
      </c>
      <c r="G6" s="19">
        <f t="shared" si="1"/>
        <v>9.8699999999999992</v>
      </c>
    </row>
    <row r="7" spans="1:9" x14ac:dyDescent="0.3">
      <c r="A7" s="6" t="s">
        <v>5</v>
      </c>
      <c r="B7" s="5" t="s">
        <v>14</v>
      </c>
      <c r="C7" s="4" t="s">
        <v>19</v>
      </c>
      <c r="D7" s="17">
        <v>399.9</v>
      </c>
      <c r="E7" s="21">
        <v>3</v>
      </c>
      <c r="F7" s="17">
        <f t="shared" si="0"/>
        <v>1199.6999999999998</v>
      </c>
      <c r="G7" s="19">
        <f t="shared" si="1"/>
        <v>59.984999999999992</v>
      </c>
    </row>
    <row r="8" spans="1:9" x14ac:dyDescent="0.3">
      <c r="A8" s="6" t="s">
        <v>6</v>
      </c>
      <c r="B8" s="5" t="s">
        <v>2</v>
      </c>
      <c r="C8" s="4" t="s">
        <v>18</v>
      </c>
      <c r="D8" s="17">
        <v>249.9</v>
      </c>
      <c r="E8" s="21">
        <v>1</v>
      </c>
      <c r="F8" s="17">
        <f t="shared" si="0"/>
        <v>249.9</v>
      </c>
      <c r="G8" s="19">
        <f t="shared" si="1"/>
        <v>12.495000000000001</v>
      </c>
    </row>
    <row r="9" spans="1:9" x14ac:dyDescent="0.3">
      <c r="A9" s="6" t="s">
        <v>6</v>
      </c>
      <c r="B9" s="5" t="s">
        <v>3</v>
      </c>
      <c r="C9" s="4" t="s">
        <v>18</v>
      </c>
      <c r="D9" s="17">
        <v>259.89999999999998</v>
      </c>
      <c r="E9" s="21">
        <v>2</v>
      </c>
      <c r="F9" s="17">
        <f t="shared" si="0"/>
        <v>519.79999999999995</v>
      </c>
      <c r="G9" s="19">
        <f t="shared" si="1"/>
        <v>25.99</v>
      </c>
    </row>
    <row r="10" spans="1:9" x14ac:dyDescent="0.3">
      <c r="A10" s="6" t="s">
        <v>6</v>
      </c>
      <c r="B10" s="5" t="s">
        <v>4</v>
      </c>
      <c r="C10" s="4" t="s">
        <v>18</v>
      </c>
      <c r="D10" s="17">
        <v>299.89999999999998</v>
      </c>
      <c r="E10" s="21">
        <v>1</v>
      </c>
      <c r="F10" s="17">
        <f t="shared" si="0"/>
        <v>299.89999999999998</v>
      </c>
      <c r="G10" s="19">
        <f t="shared" si="1"/>
        <v>14.994999999999999</v>
      </c>
    </row>
    <row r="11" spans="1:9" x14ac:dyDescent="0.3">
      <c r="A11" s="6" t="s">
        <v>7</v>
      </c>
      <c r="B11" s="5" t="s">
        <v>2</v>
      </c>
      <c r="C11" s="4" t="s">
        <v>18</v>
      </c>
      <c r="D11" s="17">
        <v>85.9</v>
      </c>
      <c r="E11" s="21">
        <v>8</v>
      </c>
      <c r="F11" s="17">
        <f t="shared" si="0"/>
        <v>687.2</v>
      </c>
      <c r="G11" s="19">
        <f t="shared" si="1"/>
        <v>34.360000000000007</v>
      </c>
    </row>
    <row r="12" spans="1:9" x14ac:dyDescent="0.3">
      <c r="A12" s="6" t="s">
        <v>7</v>
      </c>
      <c r="B12" s="5" t="s">
        <v>3</v>
      </c>
      <c r="C12" s="4" t="s">
        <v>18</v>
      </c>
      <c r="D12" s="17">
        <v>89.9</v>
      </c>
      <c r="E12" s="21">
        <v>5</v>
      </c>
      <c r="F12" s="17">
        <f t="shared" si="0"/>
        <v>449.5</v>
      </c>
      <c r="G12" s="19">
        <f t="shared" si="1"/>
        <v>22.475000000000001</v>
      </c>
    </row>
    <row r="13" spans="1:9" x14ac:dyDescent="0.3">
      <c r="A13" s="6" t="s">
        <v>7</v>
      </c>
      <c r="B13" s="5" t="s">
        <v>4</v>
      </c>
      <c r="C13" s="4" t="s">
        <v>18</v>
      </c>
      <c r="D13" s="17">
        <v>92.9</v>
      </c>
      <c r="E13" s="21">
        <v>6</v>
      </c>
      <c r="F13" s="17">
        <f t="shared" si="0"/>
        <v>557.40000000000009</v>
      </c>
      <c r="G13" s="19">
        <f t="shared" si="1"/>
        <v>27.870000000000005</v>
      </c>
    </row>
    <row r="14" spans="1:9" x14ac:dyDescent="0.3">
      <c r="A14" s="6" t="s">
        <v>8</v>
      </c>
      <c r="B14" s="5" t="s">
        <v>14</v>
      </c>
      <c r="C14" s="4" t="s">
        <v>18</v>
      </c>
      <c r="D14" s="17">
        <v>149.9</v>
      </c>
      <c r="E14" s="21">
        <v>2</v>
      </c>
      <c r="F14" s="17">
        <f t="shared" si="0"/>
        <v>299.8</v>
      </c>
      <c r="G14" s="19">
        <f t="shared" si="1"/>
        <v>14.990000000000002</v>
      </c>
    </row>
    <row r="15" spans="1:9" x14ac:dyDescent="0.3">
      <c r="A15" s="6" t="s">
        <v>9</v>
      </c>
      <c r="B15" s="5" t="s">
        <v>2</v>
      </c>
      <c r="C15" s="4" t="s">
        <v>18</v>
      </c>
      <c r="D15" s="17">
        <v>65.900000000000006</v>
      </c>
      <c r="E15" s="21">
        <v>12</v>
      </c>
      <c r="F15" s="17">
        <f t="shared" si="0"/>
        <v>790.80000000000007</v>
      </c>
      <c r="G15" s="19">
        <f t="shared" si="1"/>
        <v>39.540000000000006</v>
      </c>
    </row>
    <row r="16" spans="1:9" x14ac:dyDescent="0.3">
      <c r="A16" s="6" t="s">
        <v>9</v>
      </c>
      <c r="B16" s="5" t="s">
        <v>3</v>
      </c>
      <c r="C16" s="4" t="s">
        <v>18</v>
      </c>
      <c r="D16" s="17">
        <v>69.900000000000006</v>
      </c>
      <c r="E16" s="21">
        <v>15</v>
      </c>
      <c r="F16" s="17">
        <f t="shared" si="0"/>
        <v>1048.5</v>
      </c>
      <c r="G16" s="19">
        <f t="shared" si="1"/>
        <v>52.425000000000004</v>
      </c>
    </row>
    <row r="17" spans="1:7" x14ac:dyDescent="0.3">
      <c r="A17" s="6" t="s">
        <v>9</v>
      </c>
      <c r="B17" s="5" t="s">
        <v>4</v>
      </c>
      <c r="C17" s="4" t="s">
        <v>18</v>
      </c>
      <c r="D17" s="17">
        <v>70.900000000000006</v>
      </c>
      <c r="E17" s="21">
        <v>13</v>
      </c>
      <c r="F17" s="17">
        <f t="shared" si="0"/>
        <v>921.7</v>
      </c>
      <c r="G17" s="19">
        <f t="shared" si="1"/>
        <v>46.085000000000008</v>
      </c>
    </row>
    <row r="18" spans="1:7" x14ac:dyDescent="0.3">
      <c r="A18" s="6" t="s">
        <v>10</v>
      </c>
      <c r="B18" s="5">
        <v>36</v>
      </c>
      <c r="C18" s="4" t="s">
        <v>20</v>
      </c>
      <c r="D18" s="17">
        <v>199.9</v>
      </c>
      <c r="E18" s="21">
        <v>2</v>
      </c>
      <c r="F18" s="17">
        <f t="shared" si="0"/>
        <v>399.8</v>
      </c>
      <c r="G18" s="19">
        <f t="shared" si="1"/>
        <v>19.990000000000002</v>
      </c>
    </row>
    <row r="19" spans="1:7" x14ac:dyDescent="0.3">
      <c r="A19" s="6" t="s">
        <v>10</v>
      </c>
      <c r="B19" s="5">
        <v>37</v>
      </c>
      <c r="C19" s="4" t="s">
        <v>20</v>
      </c>
      <c r="D19" s="17">
        <v>249.9</v>
      </c>
      <c r="E19" s="21">
        <v>1</v>
      </c>
      <c r="F19" s="17">
        <f t="shared" si="0"/>
        <v>249.9</v>
      </c>
      <c r="G19" s="19">
        <f t="shared" si="1"/>
        <v>12.495000000000001</v>
      </c>
    </row>
    <row r="20" spans="1:7" x14ac:dyDescent="0.3">
      <c r="A20" s="6" t="s">
        <v>10</v>
      </c>
      <c r="B20" s="5">
        <v>38</v>
      </c>
      <c r="C20" s="4" t="s">
        <v>20</v>
      </c>
      <c r="D20" s="17">
        <v>259.89999999999998</v>
      </c>
      <c r="E20" s="21">
        <v>0</v>
      </c>
      <c r="F20" s="17">
        <f t="shared" si="0"/>
        <v>0</v>
      </c>
      <c r="G20" s="19">
        <f t="shared" si="1"/>
        <v>0</v>
      </c>
    </row>
    <row r="21" spans="1:7" x14ac:dyDescent="0.3">
      <c r="A21" s="6" t="s">
        <v>11</v>
      </c>
      <c r="B21" s="5" t="s">
        <v>14</v>
      </c>
      <c r="C21" s="4" t="s">
        <v>19</v>
      </c>
      <c r="D21" s="17">
        <v>259.89999999999998</v>
      </c>
      <c r="E21" s="21">
        <v>1</v>
      </c>
      <c r="F21" s="17">
        <f t="shared" si="0"/>
        <v>259.89999999999998</v>
      </c>
      <c r="G21" s="19">
        <f t="shared" si="1"/>
        <v>12.994999999999999</v>
      </c>
    </row>
    <row r="22" spans="1:7" x14ac:dyDescent="0.3">
      <c r="A22" s="6" t="s">
        <v>12</v>
      </c>
      <c r="B22" s="5" t="s">
        <v>14</v>
      </c>
      <c r="C22" s="4" t="s">
        <v>19</v>
      </c>
      <c r="D22" s="17">
        <v>39.9</v>
      </c>
      <c r="E22" s="21">
        <v>11</v>
      </c>
      <c r="F22" s="17">
        <f t="shared" si="0"/>
        <v>438.9</v>
      </c>
      <c r="G22" s="19">
        <f t="shared" si="1"/>
        <v>21.945</v>
      </c>
    </row>
    <row r="23" spans="1:7" ht="15" thickBot="1" x14ac:dyDescent="0.35">
      <c r="A23" s="7" t="s">
        <v>13</v>
      </c>
      <c r="B23" s="8" t="s">
        <v>14</v>
      </c>
      <c r="C23" s="9" t="s">
        <v>19</v>
      </c>
      <c r="D23" s="18">
        <v>49.9</v>
      </c>
      <c r="E23" s="22">
        <v>21</v>
      </c>
      <c r="F23" s="18">
        <f t="shared" si="0"/>
        <v>1047.8999999999999</v>
      </c>
      <c r="G23" s="19">
        <f t="shared" si="1"/>
        <v>52.394999999999996</v>
      </c>
    </row>
    <row r="24" spans="1:7" ht="4.5" customHeight="1" thickBot="1" x14ac:dyDescent="0.45">
      <c r="A24" s="3"/>
      <c r="B24" s="3"/>
      <c r="C24" s="3"/>
      <c r="D24" s="3"/>
      <c r="E24" s="3"/>
      <c r="F24" s="3"/>
      <c r="G24" s="3"/>
    </row>
    <row r="25" spans="1:7" ht="18.600000000000001" thickBot="1" x14ac:dyDescent="0.4">
      <c r="A25" s="32" t="s">
        <v>25</v>
      </c>
      <c r="B25" s="33"/>
      <c r="C25" s="34"/>
      <c r="D25" s="24">
        <f>SUM(D4:D23)</f>
        <v>2983.0000000000009</v>
      </c>
      <c r="E25" s="25">
        <f>SUM(E4:E23)</f>
        <v>132</v>
      </c>
      <c r="F25" s="26">
        <f>SUM(F4:F23)</f>
        <v>10227.799999999999</v>
      </c>
      <c r="G25" s="26">
        <f>SUM(G4:G23)</f>
        <v>511.39000000000004</v>
      </c>
    </row>
  </sheetData>
  <mergeCells count="2">
    <mergeCell ref="A25:C25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zoomScale="90" zoomScaleNormal="90" workbookViewId="0">
      <selection activeCell="F13" sqref="F13"/>
    </sheetView>
  </sheetViews>
  <sheetFormatPr defaultColWidth="8.88671875" defaultRowHeight="14.4" x14ac:dyDescent="0.3"/>
  <cols>
    <col min="1" max="1" width="16.88671875" customWidth="1"/>
    <col min="2" max="2" width="11.88671875" style="1" customWidth="1"/>
    <col min="3" max="3" width="12.109375" bestFit="1" customWidth="1"/>
    <col min="4" max="4" width="17.88671875" bestFit="1" customWidth="1"/>
    <col min="5" max="5" width="13.6640625" style="1" customWidth="1"/>
    <col min="6" max="6" width="18.109375" customWidth="1"/>
    <col min="7" max="7" width="25.33203125" customWidth="1"/>
    <col min="9" max="9" width="12.44140625" customWidth="1"/>
  </cols>
  <sheetData>
    <row r="1" spans="1:9" ht="21" x14ac:dyDescent="0.4">
      <c r="A1" s="35" t="s">
        <v>21</v>
      </c>
      <c r="B1" s="35"/>
      <c r="C1" s="35"/>
      <c r="D1" s="35"/>
      <c r="E1" s="35"/>
      <c r="F1" s="35"/>
      <c r="G1" s="35"/>
    </row>
    <row r="2" spans="1:9" ht="4.5" customHeight="1" thickBot="1" x14ac:dyDescent="0.45">
      <c r="A2" s="3"/>
      <c r="B2" s="3"/>
      <c r="C2" s="3"/>
      <c r="D2" s="3"/>
      <c r="E2" s="23"/>
      <c r="F2" s="23"/>
      <c r="G2" s="23"/>
    </row>
    <row r="3" spans="1:9" s="2" customFormat="1" ht="18" x14ac:dyDescent="0.35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24</v>
      </c>
      <c r="G3" s="2" t="s">
        <v>28</v>
      </c>
      <c r="I3" s="28" t="s">
        <v>26</v>
      </c>
    </row>
    <row r="4" spans="1:9" ht="15" thickBot="1" x14ac:dyDescent="0.35">
      <c r="A4" t="s">
        <v>15</v>
      </c>
      <c r="B4" s="1" t="s">
        <v>2</v>
      </c>
      <c r="C4" t="s">
        <v>18</v>
      </c>
      <c r="D4" s="16">
        <v>25.9</v>
      </c>
      <c r="E4" s="1">
        <v>12</v>
      </c>
      <c r="F4" s="27">
        <f>Tabela5[[#This Row],[Preço Unitário]]*Tabela5[[#This Row],[Qtd]]</f>
        <v>310.79999999999995</v>
      </c>
      <c r="G4" s="27">
        <f>Tabela5[[#This Row],[Valor Total]]*$I$4</f>
        <v>15.54</v>
      </c>
      <c r="I4" s="29">
        <v>0.05</v>
      </c>
    </row>
    <row r="5" spans="1:9" x14ac:dyDescent="0.3">
      <c r="A5" t="s">
        <v>15</v>
      </c>
      <c r="B5" s="1" t="s">
        <v>3</v>
      </c>
      <c r="C5" t="s">
        <v>18</v>
      </c>
      <c r="D5" s="16">
        <v>29.9</v>
      </c>
      <c r="E5" s="1">
        <v>10</v>
      </c>
      <c r="F5" s="27">
        <f>Tabela5[[#This Row],[Preço Unitário]]*Tabela5[[#This Row],[Qtd]]</f>
        <v>299</v>
      </c>
      <c r="G5" s="27">
        <f>Tabela5[[#This Row],[Valor Total]]*$I$4</f>
        <v>14.950000000000001</v>
      </c>
    </row>
    <row r="6" spans="1:9" x14ac:dyDescent="0.3">
      <c r="A6" t="s">
        <v>15</v>
      </c>
      <c r="B6" s="1" t="s">
        <v>4</v>
      </c>
      <c r="C6" t="s">
        <v>18</v>
      </c>
      <c r="D6" s="16">
        <v>32.9</v>
      </c>
      <c r="E6" s="1">
        <v>6</v>
      </c>
      <c r="F6" s="27">
        <f>Tabela5[[#This Row],[Preço Unitário]]*Tabela5[[#This Row],[Qtd]]</f>
        <v>197.39999999999998</v>
      </c>
      <c r="G6" s="27">
        <f>Tabela5[[#This Row],[Valor Total]]*$I$4</f>
        <v>9.8699999999999992</v>
      </c>
    </row>
    <row r="7" spans="1:9" x14ac:dyDescent="0.3">
      <c r="A7" t="s">
        <v>5</v>
      </c>
      <c r="B7" s="1" t="s">
        <v>14</v>
      </c>
      <c r="C7" t="s">
        <v>19</v>
      </c>
      <c r="D7" s="16">
        <v>399.9</v>
      </c>
      <c r="E7" s="1">
        <v>3</v>
      </c>
      <c r="F7" s="27">
        <f>Tabela5[[#This Row],[Preço Unitário]]*Tabela5[[#This Row],[Qtd]]</f>
        <v>1199.6999999999998</v>
      </c>
      <c r="G7" s="27">
        <f>Tabela5[[#This Row],[Valor Total]]*$I$4</f>
        <v>59.984999999999992</v>
      </c>
    </row>
    <row r="8" spans="1:9" x14ac:dyDescent="0.3">
      <c r="A8" t="s">
        <v>6</v>
      </c>
      <c r="B8" s="1" t="s">
        <v>2</v>
      </c>
      <c r="C8" t="s">
        <v>18</v>
      </c>
      <c r="D8" s="16">
        <v>249.9</v>
      </c>
      <c r="E8" s="1">
        <v>1</v>
      </c>
      <c r="F8" s="27">
        <f>Tabela5[[#This Row],[Preço Unitário]]*Tabela5[[#This Row],[Qtd]]</f>
        <v>249.9</v>
      </c>
      <c r="G8" s="27">
        <f>Tabela5[[#This Row],[Valor Total]]*$I$4</f>
        <v>12.495000000000001</v>
      </c>
    </row>
    <row r="9" spans="1:9" x14ac:dyDescent="0.3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  <c r="F9" s="27">
        <f>Tabela5[[#This Row],[Preço Unitário]]*Tabela5[[#This Row],[Qtd]]</f>
        <v>519.79999999999995</v>
      </c>
      <c r="G9" s="27">
        <f>Tabela5[[#This Row],[Valor Total]]*$I$4</f>
        <v>25.99</v>
      </c>
    </row>
    <row r="10" spans="1:9" x14ac:dyDescent="0.3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  <c r="F10" s="27">
        <f>Tabela5[[#This Row],[Preço Unitário]]*Tabela5[[#This Row],[Qtd]]</f>
        <v>299.89999999999998</v>
      </c>
      <c r="G10" s="27">
        <f>Tabela5[[#This Row],[Valor Total]]*$I$4</f>
        <v>14.994999999999999</v>
      </c>
    </row>
    <row r="11" spans="1:9" x14ac:dyDescent="0.3">
      <c r="A11" t="s">
        <v>7</v>
      </c>
      <c r="B11" s="1" t="s">
        <v>2</v>
      </c>
      <c r="C11" t="s">
        <v>18</v>
      </c>
      <c r="D11" s="16">
        <v>85.9</v>
      </c>
      <c r="E11" s="1">
        <v>8</v>
      </c>
      <c r="F11" s="27">
        <f>Tabela5[[#This Row],[Preço Unitário]]*Tabela5[[#This Row],[Qtd]]</f>
        <v>687.2</v>
      </c>
      <c r="G11" s="27">
        <f>Tabela5[[#This Row],[Valor Total]]*$I$4</f>
        <v>34.360000000000007</v>
      </c>
    </row>
    <row r="12" spans="1:9" x14ac:dyDescent="0.3">
      <c r="A12" t="s">
        <v>7</v>
      </c>
      <c r="B12" s="1" t="s">
        <v>3</v>
      </c>
      <c r="C12" t="s">
        <v>18</v>
      </c>
      <c r="D12" s="16">
        <v>89.9</v>
      </c>
      <c r="E12" s="1">
        <v>5</v>
      </c>
      <c r="F12" s="27">
        <f>Tabela5[[#This Row],[Preço Unitário]]*Tabela5[[#This Row],[Qtd]]</f>
        <v>449.5</v>
      </c>
      <c r="G12" s="27">
        <f>Tabela5[[#This Row],[Valor Total]]*$I$4</f>
        <v>22.475000000000001</v>
      </c>
    </row>
    <row r="13" spans="1:9" x14ac:dyDescent="0.3">
      <c r="A13" t="s">
        <v>7</v>
      </c>
      <c r="B13" s="1" t="s">
        <v>4</v>
      </c>
      <c r="C13" t="s">
        <v>18</v>
      </c>
      <c r="D13" s="16">
        <v>92.9</v>
      </c>
      <c r="E13" s="1">
        <v>6</v>
      </c>
      <c r="F13" s="27">
        <f>Tabela5[[#This Row],[Preço Unitário]]*Tabela5[[#This Row],[Qtd]]</f>
        <v>557.40000000000009</v>
      </c>
      <c r="G13" s="27">
        <f>Tabela5[[#This Row],[Valor Total]]*$I$4</f>
        <v>27.870000000000005</v>
      </c>
    </row>
    <row r="14" spans="1:9" x14ac:dyDescent="0.3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  <c r="F14" s="27">
        <f>Tabela5[[#This Row],[Preço Unitário]]*Tabela5[[#This Row],[Qtd]]</f>
        <v>299.8</v>
      </c>
      <c r="G14" s="27">
        <f>Tabela5[[#This Row],[Valor Total]]*$I$4</f>
        <v>14.990000000000002</v>
      </c>
    </row>
    <row r="15" spans="1:9" x14ac:dyDescent="0.3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  <c r="F15" s="27">
        <f>Tabela5[[#This Row],[Preço Unitário]]*Tabela5[[#This Row],[Qtd]]</f>
        <v>790.80000000000007</v>
      </c>
      <c r="G15" s="27">
        <f>Tabela5[[#This Row],[Valor Total]]*$I$4</f>
        <v>39.540000000000006</v>
      </c>
    </row>
    <row r="16" spans="1:9" x14ac:dyDescent="0.3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  <c r="F16" s="27">
        <f>Tabela5[[#This Row],[Preço Unitário]]*Tabela5[[#This Row],[Qtd]]</f>
        <v>1048.5</v>
      </c>
      <c r="G16" s="27">
        <f>Tabela5[[#This Row],[Valor Total]]*$I$4</f>
        <v>52.425000000000004</v>
      </c>
    </row>
    <row r="17" spans="1:7" x14ac:dyDescent="0.3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  <c r="F17" s="27">
        <f>Tabela5[[#This Row],[Preço Unitário]]*Tabela5[[#This Row],[Qtd]]</f>
        <v>921.7</v>
      </c>
      <c r="G17" s="27">
        <f>Tabela5[[#This Row],[Valor Total]]*$I$4</f>
        <v>46.085000000000008</v>
      </c>
    </row>
    <row r="18" spans="1:7" x14ac:dyDescent="0.3">
      <c r="A18" t="s">
        <v>10</v>
      </c>
      <c r="B18" s="1">
        <v>36</v>
      </c>
      <c r="C18" t="s">
        <v>20</v>
      </c>
      <c r="D18" s="16">
        <v>199.9</v>
      </c>
      <c r="E18" s="1">
        <v>2</v>
      </c>
      <c r="F18" s="27">
        <f>Tabela5[[#This Row],[Preço Unitário]]*Tabela5[[#This Row],[Qtd]]</f>
        <v>399.8</v>
      </c>
      <c r="G18" s="27">
        <f>Tabela5[[#This Row],[Valor Total]]*$I$4</f>
        <v>19.990000000000002</v>
      </c>
    </row>
    <row r="19" spans="1:7" x14ac:dyDescent="0.3">
      <c r="A19" t="s">
        <v>10</v>
      </c>
      <c r="B19" s="1">
        <v>37</v>
      </c>
      <c r="C19" t="s">
        <v>20</v>
      </c>
      <c r="D19" s="16">
        <v>249.9</v>
      </c>
      <c r="E19" s="1">
        <v>1</v>
      </c>
      <c r="F19" s="27">
        <f>Tabela5[[#This Row],[Preço Unitário]]*Tabela5[[#This Row],[Qtd]]</f>
        <v>249.9</v>
      </c>
      <c r="G19" s="27">
        <f>Tabela5[[#This Row],[Valor Total]]*$I$4</f>
        <v>12.495000000000001</v>
      </c>
    </row>
    <row r="20" spans="1:7" x14ac:dyDescent="0.3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  <c r="F20" s="27">
        <f>Tabela5[[#This Row],[Preço Unitário]]*Tabela5[[#This Row],[Qtd]]</f>
        <v>0</v>
      </c>
      <c r="G20" s="27">
        <f>Tabela5[[#This Row],[Valor Total]]*$I$4</f>
        <v>0</v>
      </c>
    </row>
    <row r="21" spans="1:7" x14ac:dyDescent="0.3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  <c r="F21" s="27">
        <f>Tabela5[[#This Row],[Preço Unitário]]*Tabela5[[#This Row],[Qtd]]</f>
        <v>259.89999999999998</v>
      </c>
      <c r="G21" s="27">
        <f>Tabela5[[#This Row],[Valor Total]]*$I$4</f>
        <v>12.994999999999999</v>
      </c>
    </row>
    <row r="22" spans="1:7" x14ac:dyDescent="0.3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  <c r="F22" s="27">
        <f>Tabela5[[#This Row],[Preço Unitário]]*Tabela5[[#This Row],[Qtd]]</f>
        <v>438.9</v>
      </c>
      <c r="G22" s="27">
        <f>Tabela5[[#This Row],[Valor Total]]*$I$4</f>
        <v>21.945</v>
      </c>
    </row>
    <row r="23" spans="1:7" x14ac:dyDescent="0.3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  <c r="F23" s="27">
        <f>Tabela5[[#This Row],[Preço Unitário]]*Tabela5[[#This Row],[Qtd]]</f>
        <v>1047.8999999999999</v>
      </c>
      <c r="G23" s="27">
        <f>Tabela5[[#This Row],[Valor Total]]*$I$4</f>
        <v>52.394999999999996</v>
      </c>
    </row>
    <row r="24" spans="1:7" x14ac:dyDescent="0.3">
      <c r="A24" t="s">
        <v>23</v>
      </c>
      <c r="D24" s="16">
        <f>SUBTOTAL(109,Tabela5[Preço Unitário])</f>
        <v>2983.0000000000009</v>
      </c>
      <c r="E24" s="1">
        <f>SUBTOTAL(109,Tabela5[Qtd])</f>
        <v>132</v>
      </c>
      <c r="F24" s="16">
        <f>SUBTOTAL(109,Tabela5[Valor Total])</f>
        <v>10227.799999999999</v>
      </c>
      <c r="G24" s="16">
        <f>SUBTOTAL(109,Tabela5[Valor do Desconto])</f>
        <v>511.39000000000004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Produtos</vt:lpstr>
      <vt:lpstr>Tabela de Produtos</vt:lpstr>
      <vt:lpstr>Produtos!Area_de_impressao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Samantha Faustino</cp:lastModifiedBy>
  <cp:lastPrinted>2023-06-07T14:57:58Z</cp:lastPrinted>
  <dcterms:created xsi:type="dcterms:W3CDTF">2023-06-02T17:54:12Z</dcterms:created>
  <dcterms:modified xsi:type="dcterms:W3CDTF">2024-03-01T17:13:01Z</dcterms:modified>
</cp:coreProperties>
</file>